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CB40142-817A-4E32-A458-1EA3ABE2B2BF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Other dept" sheetId="6" r:id="rId1"/>
    <sheet name="1st Yr" sheetId="5" r:id="rId2"/>
    <sheet name="3rd yr" sheetId="4" r:id="rId3"/>
    <sheet name="2ND Y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0" i="4"/>
</calcChain>
</file>

<file path=xl/sharedStrings.xml><?xml version="1.0" encoding="utf-8"?>
<sst xmlns="http://schemas.openxmlformats.org/spreadsheetml/2006/main" count="215" uniqueCount="121">
  <si>
    <r>
      <rPr>
        <b/>
        <sz val="28"/>
        <color theme="1"/>
        <rFont val="Calibri"/>
        <family val="2"/>
        <scheme val="minor"/>
      </rPr>
      <t>ABES ENGINEERING COLLEGE</t>
    </r>
    <r>
      <rPr>
        <b/>
        <sz val="16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>COMPUTER SCIENCE DEPARTMENT</t>
    </r>
    <r>
      <rPr>
        <b/>
        <sz val="16"/>
        <color theme="1"/>
        <rFont val="Calibri"/>
        <family val="2"/>
        <scheme val="minor"/>
      </rPr>
      <t xml:space="preserve">
1st  YEAR TIME TABLE (2024-25) (Other Department)</t>
    </r>
  </si>
  <si>
    <t>S.NO.</t>
  </si>
  <si>
    <t>Department Name</t>
  </si>
  <si>
    <t>Section</t>
  </si>
  <si>
    <t xml:space="preserve">SUBJECT CODE </t>
  </si>
  <si>
    <t xml:space="preserve">SUBJECT NAME </t>
  </si>
  <si>
    <t>LOAD</t>
  </si>
  <si>
    <t>FACULTY NAME</t>
  </si>
  <si>
    <t>ECE</t>
  </si>
  <si>
    <t>A</t>
  </si>
  <si>
    <t>BCS101 +BCS151</t>
  </si>
  <si>
    <t>PPS+PPS Lab</t>
  </si>
  <si>
    <t>B</t>
  </si>
  <si>
    <t>ELCE</t>
  </si>
  <si>
    <t>BCC302</t>
  </si>
  <si>
    <t>Python</t>
  </si>
  <si>
    <t>Ms. Shalini</t>
  </si>
  <si>
    <t>EN</t>
  </si>
  <si>
    <r>
      <rPr>
        <b/>
        <sz val="28"/>
        <color theme="1"/>
        <rFont val="Calibri"/>
        <family val="2"/>
        <scheme val="minor"/>
      </rPr>
      <t>ABES ENGINEERING COLLEGE</t>
    </r>
    <r>
      <rPr>
        <b/>
        <sz val="16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>COMPUTER SCIENCE DEPARTMENT</t>
    </r>
    <r>
      <rPr>
        <b/>
        <sz val="16"/>
        <color theme="1"/>
        <rFont val="Calibri"/>
        <family val="2"/>
        <scheme val="minor"/>
      </rPr>
      <t xml:space="preserve">
1st  YEAR TIME TABLE (2024-25)</t>
    </r>
  </si>
  <si>
    <t>PROGRAM LEADER</t>
  </si>
  <si>
    <t>Ms. Laxmi Saraswat</t>
  </si>
  <si>
    <t>Mr. Vivek Kumar</t>
  </si>
  <si>
    <t>Ms. Ashi Agarwal</t>
  </si>
  <si>
    <t>MENTORS</t>
  </si>
  <si>
    <t>LS</t>
  </si>
  <si>
    <t>SV</t>
  </si>
  <si>
    <t>VR</t>
  </si>
  <si>
    <t>VK</t>
  </si>
  <si>
    <t>NG</t>
  </si>
  <si>
    <t>DMP</t>
  </si>
  <si>
    <t>AA</t>
  </si>
  <si>
    <t>SH</t>
  </si>
  <si>
    <t>AK</t>
  </si>
  <si>
    <t>NAME</t>
  </si>
  <si>
    <t>VACS 101</t>
  </si>
  <si>
    <t>Problem solving</t>
  </si>
  <si>
    <r>
      <rPr>
        <b/>
        <sz val="28"/>
        <color theme="1"/>
        <rFont val="Calibri"/>
        <family val="2"/>
        <scheme val="minor"/>
      </rPr>
      <t>ABES ENGINEERING COLLEGE</t>
    </r>
    <r>
      <rPr>
        <b/>
        <sz val="16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>COMPUTER SCIENCE DEPARTMENT</t>
    </r>
    <r>
      <rPr>
        <b/>
        <sz val="16"/>
        <color theme="1"/>
        <rFont val="Calibri"/>
        <family val="2"/>
        <scheme val="minor"/>
      </rPr>
      <t xml:space="preserve">
3RD  YEAR TIME TABLE (2024-25)</t>
    </r>
  </si>
  <si>
    <t>SS+SK</t>
  </si>
  <si>
    <t>NS+SK+MS</t>
  </si>
  <si>
    <t>(NEW)+MS</t>
  </si>
  <si>
    <t>C</t>
  </si>
  <si>
    <t>KCS501</t>
  </si>
  <si>
    <t>DBMS</t>
  </si>
  <si>
    <t>KCS502</t>
  </si>
  <si>
    <t>WT</t>
  </si>
  <si>
    <t>ST</t>
  </si>
  <si>
    <t>SK</t>
  </si>
  <si>
    <t>KCS503</t>
  </si>
  <si>
    <t>DAA</t>
  </si>
  <si>
    <t>MM</t>
  </si>
  <si>
    <t>KCS054</t>
  </si>
  <si>
    <t>OOSD</t>
  </si>
  <si>
    <t>VS</t>
  </si>
  <si>
    <t>MS</t>
  </si>
  <si>
    <t>KCS056</t>
  </si>
  <si>
    <t>AOSC</t>
  </si>
  <si>
    <t>SJ</t>
  </si>
  <si>
    <t>KCS 551</t>
  </si>
  <si>
    <t>DBMS LAB</t>
  </si>
  <si>
    <t>PKR</t>
  </si>
  <si>
    <t>KCS552</t>
  </si>
  <si>
    <t>WT LAB</t>
  </si>
  <si>
    <t>SL</t>
  </si>
  <si>
    <t>KCS553</t>
  </si>
  <si>
    <t>DAALAB</t>
  </si>
  <si>
    <t>DSA</t>
  </si>
  <si>
    <t>CENTRAL TEAM</t>
  </si>
  <si>
    <t>FSD</t>
  </si>
  <si>
    <t>SEEP(SS/VA)</t>
  </si>
  <si>
    <t>Dr. Abrity Thakur/Luna Das</t>
  </si>
  <si>
    <t>Dr. Shikha/Luna Das</t>
  </si>
  <si>
    <t>Aptitude (QA/LR)</t>
  </si>
  <si>
    <t>Umesh Bhardwa</t>
  </si>
  <si>
    <t>Harshit Sharma</t>
  </si>
  <si>
    <t>Umesh Bhardwaj</t>
  </si>
  <si>
    <t>Emerging Technologies</t>
  </si>
  <si>
    <t>1Lecture given to DAA and one to mini project</t>
  </si>
  <si>
    <t>TOTAL</t>
  </si>
  <si>
    <r>
      <rPr>
        <b/>
        <sz val="28"/>
        <color theme="1"/>
        <rFont val="Calibri"/>
        <family val="2"/>
        <scheme val="minor"/>
      </rPr>
      <t>ABES ENGINEERING COLLEGE</t>
    </r>
    <r>
      <rPr>
        <b/>
        <sz val="16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>COMPUTER SCIENCE DEPARTMENT</t>
    </r>
    <r>
      <rPr>
        <b/>
        <sz val="16"/>
        <color theme="1"/>
        <rFont val="Calibri"/>
        <family val="2"/>
        <scheme val="minor"/>
      </rPr>
      <t xml:space="preserve">
2ND YEAR TIME TABLE (2024-25)</t>
    </r>
  </si>
  <si>
    <t>SJ+DK</t>
  </si>
  <si>
    <t>GV+PKR</t>
  </si>
  <si>
    <t>ST+PKR</t>
  </si>
  <si>
    <t>PS+CHM</t>
  </si>
  <si>
    <t>VS+DK</t>
  </si>
  <si>
    <t>D</t>
  </si>
  <si>
    <t>E</t>
  </si>
  <si>
    <t>BOE310</t>
  </si>
  <si>
    <t>DIGITAL ELEC.</t>
  </si>
  <si>
    <t>SS</t>
  </si>
  <si>
    <t>BVE 301</t>
  </si>
  <si>
    <t>HUMAN VALUES</t>
  </si>
  <si>
    <t>BCS 301</t>
  </si>
  <si>
    <t>DATA STRUCTURE</t>
  </si>
  <si>
    <t>DK</t>
  </si>
  <si>
    <t>GV</t>
  </si>
  <si>
    <t>CHM</t>
  </si>
  <si>
    <t>PSG</t>
  </si>
  <si>
    <t>BCS302</t>
  </si>
  <si>
    <t>COA</t>
  </si>
  <si>
    <t>VV</t>
  </si>
  <si>
    <t>BCS 303</t>
  </si>
  <si>
    <t>DSTL</t>
  </si>
  <si>
    <t>ND</t>
  </si>
  <si>
    <t>AV</t>
  </si>
  <si>
    <t>NS</t>
  </si>
  <si>
    <t>BCC 302</t>
  </si>
  <si>
    <t>PYTHON</t>
  </si>
  <si>
    <t>PKS</t>
  </si>
  <si>
    <t>BCS 351</t>
  </si>
  <si>
    <t>DS LAB</t>
  </si>
  <si>
    <t>BCS 352</t>
  </si>
  <si>
    <t>COA LAB</t>
  </si>
  <si>
    <t>BCS 353</t>
  </si>
  <si>
    <t>WEB DESIGNING LAB</t>
  </si>
  <si>
    <t>NS+CHAN</t>
  </si>
  <si>
    <t>MENTOR MENTEE</t>
  </si>
  <si>
    <t>SEEP</t>
  </si>
  <si>
    <t>Dr. Shikha Iyer</t>
  </si>
  <si>
    <t>Dr. Abrity Thakur</t>
  </si>
  <si>
    <t>Dr. Shika Iyer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</si>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</sst>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/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B2F0-4BE7-438E-9AED-F33E84D63B90}">
  <sheetPr>
    <pageSetUpPr fitToPage="1"/>
  </sheetPr>
  <dimension ref="A1:G9"/>
  <sheetViews>
    <sheetView workbookViewId="0">
      <selection activeCell="H7" sqref="H7"/>
    </sheetView>
  </sheetViews>
  <sheetFormatPr defaultRowHeight="15"/>
  <cols>
    <col min="2" max="3" width="31.5703125" customWidth="1"/>
    <col min="4" max="4" width="20.140625" bestFit="1" customWidth="1"/>
    <col min="5" max="5" width="29.28515625" customWidth="1"/>
    <col min="7" max="7" width="21.7109375" customWidth="1"/>
  </cols>
  <sheetData>
    <row r="1" spans="1:7">
      <c r="A1" s="22" t="s">
        <v>0</v>
      </c>
      <c r="B1" s="22"/>
      <c r="C1" s="22"/>
      <c r="D1" s="23"/>
      <c r="E1" s="23"/>
      <c r="F1" s="23"/>
      <c r="G1" s="23"/>
    </row>
    <row r="2" spans="1:7">
      <c r="A2" s="23"/>
      <c r="B2" s="23"/>
      <c r="C2" s="23"/>
      <c r="D2" s="23"/>
      <c r="E2" s="23"/>
      <c r="F2" s="23"/>
      <c r="G2" s="23"/>
    </row>
    <row r="3" spans="1:7">
      <c r="A3" s="23"/>
      <c r="B3" s="23"/>
      <c r="C3" s="23"/>
      <c r="D3" s="23"/>
      <c r="E3" s="23"/>
      <c r="F3" s="23"/>
      <c r="G3" s="23"/>
    </row>
    <row r="4" spans="1:7" ht="42.75" customHeight="1">
      <c r="A4" s="23"/>
      <c r="B4" s="23"/>
      <c r="C4" s="23"/>
      <c r="D4" s="23"/>
      <c r="E4" s="23"/>
      <c r="F4" s="23"/>
      <c r="G4" s="23"/>
    </row>
    <row r="5" spans="1:7" ht="21">
      <c r="A5" s="16" t="s">
        <v>1</v>
      </c>
      <c r="B5" s="16" t="s">
        <v>2</v>
      </c>
      <c r="C5" s="16" t="s">
        <v>3</v>
      </c>
      <c r="D5" s="16" t="s">
        <v>4</v>
      </c>
      <c r="E5" s="16" t="s">
        <v>5</v>
      </c>
      <c r="F5" s="16" t="s">
        <v>6</v>
      </c>
      <c r="G5" s="16" t="s">
        <v>7</v>
      </c>
    </row>
    <row r="6" spans="1:7" ht="18.75">
      <c r="A6" s="17">
        <v>1</v>
      </c>
      <c r="B6" s="17" t="s">
        <v>8</v>
      </c>
      <c r="C6" s="17" t="s">
        <v>9</v>
      </c>
      <c r="D6" s="2" t="s">
        <v>10</v>
      </c>
      <c r="E6" s="2" t="s">
        <v>11</v>
      </c>
      <c r="F6" s="3">
        <v>10</v>
      </c>
      <c r="G6" s="3"/>
    </row>
    <row r="7" spans="1:7" ht="18.75">
      <c r="A7" s="17">
        <v>1</v>
      </c>
      <c r="B7" s="17" t="s">
        <v>8</v>
      </c>
      <c r="C7" s="17" t="s">
        <v>12</v>
      </c>
      <c r="D7" s="2" t="s">
        <v>10</v>
      </c>
      <c r="E7" s="2" t="s">
        <v>11</v>
      </c>
      <c r="F7" s="3">
        <v>10</v>
      </c>
      <c r="G7" s="3"/>
    </row>
    <row r="8" spans="1:7" ht="18.75">
      <c r="A8" s="17">
        <v>1</v>
      </c>
      <c r="B8" s="17" t="s">
        <v>13</v>
      </c>
      <c r="C8" s="17" t="s">
        <v>9</v>
      </c>
      <c r="D8" s="2" t="s">
        <v>14</v>
      </c>
      <c r="E8" s="2" t="s">
        <v>15</v>
      </c>
      <c r="F8" s="3">
        <v>3</v>
      </c>
      <c r="G8" s="3" t="s">
        <v>16</v>
      </c>
    </row>
    <row r="9" spans="1:7" ht="18.75">
      <c r="A9" s="17">
        <v>1</v>
      </c>
      <c r="B9" s="17" t="s">
        <v>17</v>
      </c>
      <c r="C9" s="17" t="s">
        <v>9</v>
      </c>
      <c r="D9" s="2" t="s">
        <v>14</v>
      </c>
      <c r="E9" s="2" t="s">
        <v>15</v>
      </c>
      <c r="F9" s="3">
        <v>3</v>
      </c>
      <c r="G9" s="3" t="s">
        <v>16</v>
      </c>
    </row>
  </sheetData>
  <mergeCells count="1">
    <mergeCell ref="A1:G4"/>
  </mergeCells>
  <printOptions horizontalCentered="1"/>
  <pageMargins left="0.7" right="0.7" top="0" bottom="0" header="0" footer="0"/>
  <pageSetup paperSize="9" scale="85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964B-D733-47BB-8051-870624A60F38}">
  <sheetPr>
    <pageSetUpPr fitToPage="1"/>
  </sheetPr>
  <dimension ref="A1:M9"/>
  <sheetViews>
    <sheetView workbookViewId="0">
      <selection activeCell="P6" sqref="P6"/>
    </sheetView>
  </sheetViews>
  <sheetFormatPr defaultRowHeight="15"/>
  <cols>
    <col min="2" max="2" width="20.140625" bestFit="1" customWidth="1"/>
    <col min="3" max="3" width="29.28515625" customWidth="1"/>
    <col min="6" max="6" width="12.28515625" customWidth="1"/>
    <col min="7" max="7" width="11.28515625" customWidth="1"/>
  </cols>
  <sheetData>
    <row r="1" spans="1:13" ht="15" customHeight="1">
      <c r="A1" s="22" t="s">
        <v>18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ht="42.7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3" ht="42.75" customHeight="1">
      <c r="A5" s="28" t="s">
        <v>19</v>
      </c>
      <c r="B5" s="28"/>
      <c r="C5" s="28"/>
      <c r="D5" s="28"/>
      <c r="E5" s="24" t="s">
        <v>20</v>
      </c>
      <c r="F5" s="25"/>
      <c r="G5" s="26"/>
      <c r="H5" s="24" t="s">
        <v>21</v>
      </c>
      <c r="I5" s="25"/>
      <c r="J5" s="26"/>
      <c r="K5" s="24" t="s">
        <v>22</v>
      </c>
      <c r="L5" s="25"/>
      <c r="M5" s="26"/>
    </row>
    <row r="6" spans="1:13" ht="42.75" customHeight="1">
      <c r="A6" s="28" t="s">
        <v>23</v>
      </c>
      <c r="B6" s="28"/>
      <c r="C6" s="28"/>
      <c r="D6" s="28"/>
      <c r="E6" s="15" t="s">
        <v>24</v>
      </c>
      <c r="F6" s="15" t="s">
        <v>25</v>
      </c>
      <c r="G6" s="15" t="s">
        <v>26</v>
      </c>
      <c r="H6" s="15" t="s">
        <v>27</v>
      </c>
      <c r="I6" s="15" t="s">
        <v>28</v>
      </c>
      <c r="J6" s="15" t="s">
        <v>29</v>
      </c>
      <c r="K6" s="15" t="s">
        <v>30</v>
      </c>
      <c r="L6" s="15" t="s">
        <v>31</v>
      </c>
      <c r="M6" s="15" t="s">
        <v>32</v>
      </c>
    </row>
    <row r="7" spans="1:13" ht="21">
      <c r="A7" s="16" t="s">
        <v>1</v>
      </c>
      <c r="B7" s="16" t="s">
        <v>4</v>
      </c>
      <c r="C7" s="16" t="s">
        <v>33</v>
      </c>
      <c r="D7" s="16" t="s">
        <v>6</v>
      </c>
      <c r="E7" s="16">
        <v>21</v>
      </c>
      <c r="F7" s="16">
        <v>22</v>
      </c>
      <c r="G7" s="16">
        <v>23</v>
      </c>
      <c r="H7" s="16">
        <v>24</v>
      </c>
      <c r="I7" s="16">
        <v>25</v>
      </c>
      <c r="J7" s="16">
        <v>26</v>
      </c>
      <c r="K7" s="16">
        <v>27</v>
      </c>
      <c r="L7" s="16">
        <v>28</v>
      </c>
      <c r="M7" s="16">
        <v>29</v>
      </c>
    </row>
    <row r="8" spans="1:13" ht="18.75">
      <c r="A8" s="17"/>
      <c r="B8" s="2" t="s">
        <v>34</v>
      </c>
      <c r="C8" s="2" t="s">
        <v>35</v>
      </c>
      <c r="D8" s="3">
        <v>2</v>
      </c>
      <c r="E8" s="3"/>
      <c r="F8" s="3"/>
      <c r="G8" s="3"/>
      <c r="H8" s="9"/>
      <c r="I8" s="9"/>
      <c r="J8" s="9"/>
      <c r="K8" s="9" t="s">
        <v>30</v>
      </c>
      <c r="L8" s="9" t="s">
        <v>30</v>
      </c>
      <c r="M8" s="9" t="s">
        <v>30</v>
      </c>
    </row>
    <row r="9" spans="1:13" ht="18.75">
      <c r="D9" s="10"/>
    </row>
  </sheetData>
  <mergeCells count="6">
    <mergeCell ref="A1:M4"/>
    <mergeCell ref="A6:D6"/>
    <mergeCell ref="A5:D5"/>
    <mergeCell ref="E5:G5"/>
    <mergeCell ref="H5:J5"/>
    <mergeCell ref="K5:M5"/>
  </mergeCells>
  <printOptions horizontalCentered="1"/>
  <pageMargins left="0.7" right="0.7" top="0" bottom="0" header="0" footer="0"/>
  <pageSetup paperSize="9" scale="84" fitToHeight="0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E992-32A8-40DB-96A7-20BD9C1C333A}">
  <sheetPr>
    <pageSetUpPr fitToPage="1"/>
  </sheetPr>
  <dimension ref="A1:G20"/>
  <sheetViews>
    <sheetView workbookViewId="0">
      <selection activeCell="G14" sqref="G14"/>
    </sheetView>
  </sheetViews>
  <sheetFormatPr defaultRowHeight="15"/>
  <cols>
    <col min="2" max="2" width="20.140625" bestFit="1" customWidth="1"/>
    <col min="3" max="3" width="29.28515625" customWidth="1"/>
    <col min="5" max="5" width="16.28515625" customWidth="1"/>
    <col min="6" max="6" width="19.140625" customWidth="1"/>
    <col min="7" max="7" width="17.28515625" customWidth="1"/>
  </cols>
  <sheetData>
    <row r="1" spans="1:7">
      <c r="A1" s="29" t="s">
        <v>36</v>
      </c>
      <c r="B1" s="28"/>
      <c r="C1" s="28"/>
      <c r="D1" s="28"/>
      <c r="E1" s="28"/>
      <c r="F1" s="28"/>
      <c r="G1" s="28"/>
    </row>
    <row r="2" spans="1:7">
      <c r="A2" s="28"/>
      <c r="B2" s="28"/>
      <c r="C2" s="28"/>
      <c r="D2" s="28"/>
      <c r="E2" s="28"/>
      <c r="F2" s="28"/>
      <c r="G2" s="28"/>
    </row>
    <row r="3" spans="1:7">
      <c r="A3" s="28"/>
      <c r="B3" s="28"/>
      <c r="C3" s="28"/>
      <c r="D3" s="28"/>
      <c r="E3" s="28"/>
      <c r="F3" s="28"/>
      <c r="G3" s="28"/>
    </row>
    <row r="4" spans="1:7" ht="42.75" customHeight="1">
      <c r="A4" s="28"/>
      <c r="B4" s="28"/>
      <c r="C4" s="28"/>
      <c r="D4" s="28"/>
      <c r="E4" s="28"/>
      <c r="F4" s="28"/>
      <c r="G4" s="28"/>
    </row>
    <row r="5" spans="1:7" ht="42.75" customHeight="1">
      <c r="A5" s="28" t="s">
        <v>23</v>
      </c>
      <c r="B5" s="28"/>
      <c r="C5" s="28"/>
      <c r="D5" s="28"/>
      <c r="E5" s="15" t="s">
        <v>37</v>
      </c>
      <c r="F5" s="15" t="s">
        <v>38</v>
      </c>
      <c r="G5" s="15" t="s">
        <v>39</v>
      </c>
    </row>
    <row r="6" spans="1:7" ht="21">
      <c r="A6" s="16" t="s">
        <v>1</v>
      </c>
      <c r="B6" s="16" t="s">
        <v>4</v>
      </c>
      <c r="C6" s="16" t="s">
        <v>33</v>
      </c>
      <c r="D6" s="16" t="s">
        <v>6</v>
      </c>
      <c r="E6" s="16" t="s">
        <v>9</v>
      </c>
      <c r="F6" s="16" t="s">
        <v>12</v>
      </c>
      <c r="G6" s="16" t="s">
        <v>40</v>
      </c>
    </row>
    <row r="7" spans="1:7" ht="18.75">
      <c r="A7" s="17"/>
      <c r="B7" s="2" t="s">
        <v>41</v>
      </c>
      <c r="C7" s="2" t="s">
        <v>42</v>
      </c>
      <c r="D7" s="3">
        <v>4</v>
      </c>
      <c r="E7" s="3" t="s">
        <v>24</v>
      </c>
      <c r="F7" s="3" t="s">
        <v>24</v>
      </c>
      <c r="G7" s="3" t="s">
        <v>25</v>
      </c>
    </row>
    <row r="8" spans="1:7" ht="18.75">
      <c r="A8" s="17"/>
      <c r="B8" s="2" t="s">
        <v>43</v>
      </c>
      <c r="C8" s="2" t="s">
        <v>44</v>
      </c>
      <c r="D8" s="3">
        <v>4</v>
      </c>
      <c r="E8" s="3" t="s">
        <v>45</v>
      </c>
      <c r="F8" s="3" t="s">
        <v>46</v>
      </c>
      <c r="G8" s="18" t="s">
        <v>46</v>
      </c>
    </row>
    <row r="9" spans="1:7" ht="18.75">
      <c r="A9" s="17"/>
      <c r="B9" s="2" t="s">
        <v>47</v>
      </c>
      <c r="C9" s="2" t="s">
        <v>48</v>
      </c>
      <c r="D9" s="3">
        <v>4</v>
      </c>
      <c r="E9" s="3" t="s">
        <v>46</v>
      </c>
      <c r="F9" s="3" t="s">
        <v>49</v>
      </c>
      <c r="G9" s="3" t="s">
        <v>30</v>
      </c>
    </row>
    <row r="10" spans="1:7" ht="18.75">
      <c r="A10" s="17"/>
      <c r="B10" s="2" t="s">
        <v>50</v>
      </c>
      <c r="C10" s="2" t="s">
        <v>51</v>
      </c>
      <c r="D10" s="3">
        <v>3</v>
      </c>
      <c r="E10" s="3" t="s">
        <v>52</v>
      </c>
      <c r="F10" s="3" t="s">
        <v>53</v>
      </c>
      <c r="G10" s="3" t="s">
        <v>53</v>
      </c>
    </row>
    <row r="11" spans="1:7" ht="18.75">
      <c r="A11" s="17"/>
      <c r="B11" s="2" t="s">
        <v>54</v>
      </c>
      <c r="C11" s="2" t="s">
        <v>55</v>
      </c>
      <c r="D11" s="3">
        <v>3</v>
      </c>
      <c r="E11" s="3" t="s">
        <v>56</v>
      </c>
      <c r="F11" s="3" t="s">
        <v>29</v>
      </c>
      <c r="G11" s="3" t="s">
        <v>56</v>
      </c>
    </row>
    <row r="12" spans="1:7" ht="18.75">
      <c r="A12" s="17"/>
      <c r="B12" s="2" t="s">
        <v>57</v>
      </c>
      <c r="C12" s="2" t="s">
        <v>58</v>
      </c>
      <c r="D12" s="3">
        <v>2</v>
      </c>
      <c r="E12" s="3" t="s">
        <v>59</v>
      </c>
      <c r="F12" s="3" t="s">
        <v>24</v>
      </c>
      <c r="G12" s="3" t="s">
        <v>25</v>
      </c>
    </row>
    <row r="13" spans="1:7" ht="18.75">
      <c r="A13" s="17"/>
      <c r="B13" s="2" t="s">
        <v>60</v>
      </c>
      <c r="C13" s="2" t="s">
        <v>61</v>
      </c>
      <c r="D13" s="3">
        <v>2</v>
      </c>
      <c r="E13" s="18" t="s">
        <v>45</v>
      </c>
      <c r="F13" s="3" t="s">
        <v>46</v>
      </c>
      <c r="G13" s="18" t="s">
        <v>62</v>
      </c>
    </row>
    <row r="14" spans="1:7" ht="18.75">
      <c r="A14" s="17"/>
      <c r="B14" s="2" t="s">
        <v>63</v>
      </c>
      <c r="C14" s="2" t="s">
        <v>64</v>
      </c>
      <c r="D14" s="3">
        <v>2</v>
      </c>
      <c r="E14" s="3" t="s">
        <v>49</v>
      </c>
      <c r="F14" s="3" t="s">
        <v>49</v>
      </c>
      <c r="G14" s="3" t="s">
        <v>30</v>
      </c>
    </row>
    <row r="15" spans="1:7" ht="18.75">
      <c r="A15" s="17"/>
      <c r="B15" s="2"/>
      <c r="C15" s="2" t="s">
        <v>65</v>
      </c>
      <c r="D15" s="3">
        <v>6</v>
      </c>
      <c r="E15" s="33" t="s">
        <v>66</v>
      </c>
      <c r="F15" s="34"/>
      <c r="G15" s="35"/>
    </row>
    <row r="16" spans="1:7" ht="18.75">
      <c r="A16" s="17"/>
      <c r="B16" s="9"/>
      <c r="C16" s="2" t="s">
        <v>67</v>
      </c>
      <c r="D16" s="3">
        <v>4</v>
      </c>
      <c r="E16" s="33" t="s">
        <v>66</v>
      </c>
      <c r="F16" s="34"/>
      <c r="G16" s="35"/>
    </row>
    <row r="17" spans="1:7" ht="48" customHeight="1">
      <c r="A17" s="17"/>
      <c r="B17" s="9"/>
      <c r="C17" s="11" t="s">
        <v>68</v>
      </c>
      <c r="D17" s="3">
        <v>2</v>
      </c>
      <c r="E17" s="20" t="s">
        <v>69</v>
      </c>
      <c r="F17" s="20" t="s">
        <v>70</v>
      </c>
      <c r="G17" s="20" t="s">
        <v>69</v>
      </c>
    </row>
    <row r="18" spans="1:7" ht="18.75">
      <c r="A18" s="17"/>
      <c r="B18" s="9"/>
      <c r="C18" s="2" t="s">
        <v>71</v>
      </c>
      <c r="D18" s="3">
        <v>2</v>
      </c>
      <c r="E18" s="3" t="s">
        <v>72</v>
      </c>
      <c r="F18" s="3" t="s">
        <v>73</v>
      </c>
      <c r="G18" s="3" t="s">
        <v>74</v>
      </c>
    </row>
    <row r="19" spans="1:7" ht="18.75">
      <c r="A19" s="17"/>
      <c r="B19" s="9"/>
      <c r="C19" s="2" t="s">
        <v>75</v>
      </c>
      <c r="D19" s="3">
        <v>2</v>
      </c>
      <c r="E19" s="33" t="s">
        <v>76</v>
      </c>
      <c r="F19" s="34"/>
      <c r="G19" s="35"/>
    </row>
    <row r="20" spans="1:7" ht="18.75">
      <c r="A20" s="30" t="s">
        <v>77</v>
      </c>
      <c r="B20" s="31"/>
      <c r="C20" s="32"/>
      <c r="D20" s="3">
        <f>SUM(D7:D19)</f>
        <v>40</v>
      </c>
      <c r="E20" s="9"/>
      <c r="F20" s="9"/>
      <c r="G20" s="9"/>
    </row>
  </sheetData>
  <mergeCells count="6">
    <mergeCell ref="A1:G4"/>
    <mergeCell ref="A5:D5"/>
    <mergeCell ref="A20:C20"/>
    <mergeCell ref="E19:G19"/>
    <mergeCell ref="E15:G15"/>
    <mergeCell ref="E16:G16"/>
  </mergeCells>
  <printOptions horizontalCentered="1"/>
  <pageMargins left="0.7" right="0.7" top="0" bottom="0" header="0" footer="0"/>
  <pageSetup paperSize="9" fitToHeight="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3" workbookViewId="0">
      <selection activeCell="I14" sqref="I14"/>
    </sheetView>
  </sheetViews>
  <sheetFormatPr defaultRowHeight="15"/>
  <cols>
    <col min="2" max="2" width="20.140625" bestFit="1" customWidth="1"/>
    <col min="3" max="3" width="25" bestFit="1" customWidth="1"/>
    <col min="6" max="6" width="12" customWidth="1"/>
    <col min="7" max="7" width="19.42578125" customWidth="1"/>
    <col min="8" max="8" width="13" customWidth="1"/>
    <col min="9" max="9" width="20.85546875" customWidth="1"/>
  </cols>
  <sheetData>
    <row r="1" spans="1:9">
      <c r="A1" s="22" t="s">
        <v>78</v>
      </c>
      <c r="B1" s="23"/>
      <c r="C1" s="23"/>
      <c r="D1" s="23"/>
      <c r="E1" s="23"/>
      <c r="F1" s="23"/>
      <c r="G1" s="23"/>
      <c r="H1" s="23"/>
      <c r="I1" s="23"/>
    </row>
    <row r="2" spans="1:9">
      <c r="A2" s="23"/>
      <c r="B2" s="23"/>
      <c r="C2" s="23"/>
      <c r="D2" s="23"/>
      <c r="E2" s="23"/>
      <c r="F2" s="23"/>
      <c r="G2" s="23"/>
      <c r="H2" s="23"/>
      <c r="I2" s="23"/>
    </row>
    <row r="3" spans="1:9">
      <c r="A3" s="23"/>
      <c r="B3" s="23"/>
      <c r="C3" s="23"/>
      <c r="D3" s="23"/>
      <c r="E3" s="23"/>
      <c r="F3" s="23"/>
      <c r="G3" s="23"/>
      <c r="H3" s="23"/>
      <c r="I3" s="23"/>
    </row>
    <row r="4" spans="1:9" ht="42.75" customHeight="1">
      <c r="A4" s="23"/>
      <c r="B4" s="23"/>
      <c r="C4" s="23"/>
      <c r="D4" s="23"/>
      <c r="E4" s="23"/>
      <c r="F4" s="23"/>
      <c r="G4" s="23"/>
      <c r="H4" s="23"/>
      <c r="I4" s="23"/>
    </row>
    <row r="5" spans="1:9" ht="42.75" customHeight="1">
      <c r="A5" s="24" t="s">
        <v>23</v>
      </c>
      <c r="B5" s="25"/>
      <c r="C5" s="25"/>
      <c r="D5" s="26"/>
      <c r="E5" s="15" t="s">
        <v>79</v>
      </c>
      <c r="F5" s="15" t="s">
        <v>80</v>
      </c>
      <c r="G5" s="15" t="s">
        <v>81</v>
      </c>
      <c r="H5" s="15" t="s">
        <v>82</v>
      </c>
      <c r="I5" s="15" t="s">
        <v>83</v>
      </c>
    </row>
    <row r="6" spans="1:9" ht="21">
      <c r="A6" s="12" t="s">
        <v>1</v>
      </c>
      <c r="B6" s="13" t="s">
        <v>4</v>
      </c>
      <c r="C6" s="13" t="s">
        <v>33</v>
      </c>
      <c r="D6" s="13" t="s">
        <v>6</v>
      </c>
      <c r="E6" s="13" t="s">
        <v>9</v>
      </c>
      <c r="F6" s="13" t="s">
        <v>12</v>
      </c>
      <c r="G6" s="13" t="s">
        <v>40</v>
      </c>
      <c r="H6" s="13" t="s">
        <v>84</v>
      </c>
      <c r="I6" s="14" t="s">
        <v>85</v>
      </c>
    </row>
    <row r="7" spans="1:9" ht="18.75">
      <c r="A7" s="1"/>
      <c r="B7" s="2" t="s">
        <v>86</v>
      </c>
      <c r="C7" s="2" t="s">
        <v>87</v>
      </c>
      <c r="D7" s="3">
        <v>4</v>
      </c>
      <c r="E7" s="3" t="s">
        <v>28</v>
      </c>
      <c r="F7" s="3" t="s">
        <v>28</v>
      </c>
      <c r="G7" s="3" t="s">
        <v>88</v>
      </c>
      <c r="H7" s="3" t="s">
        <v>88</v>
      </c>
      <c r="I7" s="4" t="s">
        <v>88</v>
      </c>
    </row>
    <row r="8" spans="1:9" ht="18.75">
      <c r="A8" s="1"/>
      <c r="B8" s="2" t="s">
        <v>89</v>
      </c>
      <c r="C8" s="2" t="s">
        <v>90</v>
      </c>
      <c r="D8" s="3">
        <v>3</v>
      </c>
      <c r="E8" s="3" t="s">
        <v>56</v>
      </c>
      <c r="F8" s="3" t="s">
        <v>62</v>
      </c>
      <c r="G8" s="3" t="s">
        <v>56</v>
      </c>
      <c r="H8" s="3" t="s">
        <v>28</v>
      </c>
      <c r="I8" s="4" t="s">
        <v>62</v>
      </c>
    </row>
    <row r="9" spans="1:9" ht="18.75">
      <c r="A9" s="1"/>
      <c r="B9" s="2" t="s">
        <v>91</v>
      </c>
      <c r="C9" s="2" t="s">
        <v>92</v>
      </c>
      <c r="D9" s="3">
        <v>6</v>
      </c>
      <c r="E9" s="3" t="s">
        <v>93</v>
      </c>
      <c r="F9" s="3" t="s">
        <v>94</v>
      </c>
      <c r="G9" s="3" t="s">
        <v>95</v>
      </c>
      <c r="H9" s="3" t="s">
        <v>96</v>
      </c>
      <c r="I9" s="4" t="s">
        <v>27</v>
      </c>
    </row>
    <row r="10" spans="1:9" ht="18.75">
      <c r="A10" s="1"/>
      <c r="B10" s="2" t="s">
        <v>97</v>
      </c>
      <c r="C10" s="2" t="s">
        <v>98</v>
      </c>
      <c r="D10" s="3">
        <v>4</v>
      </c>
      <c r="E10" s="3" t="s">
        <v>32</v>
      </c>
      <c r="F10" s="3" t="s">
        <v>99</v>
      </c>
      <c r="G10" s="3" t="s">
        <v>26</v>
      </c>
      <c r="H10" s="3" t="s">
        <v>99</v>
      </c>
      <c r="I10" s="4" t="s">
        <v>32</v>
      </c>
    </row>
    <row r="11" spans="1:9" ht="18.75">
      <c r="A11" s="1"/>
      <c r="B11" s="2" t="s">
        <v>100</v>
      </c>
      <c r="C11" s="2" t="s">
        <v>101</v>
      </c>
      <c r="D11" s="3">
        <v>4</v>
      </c>
      <c r="E11" s="3" t="s">
        <v>62</v>
      </c>
      <c r="F11" s="3" t="s">
        <v>102</v>
      </c>
      <c r="G11" s="3" t="s">
        <v>103</v>
      </c>
      <c r="H11" s="3" t="s">
        <v>102</v>
      </c>
      <c r="I11" s="4" t="s">
        <v>104</v>
      </c>
    </row>
    <row r="12" spans="1:9" ht="18.75">
      <c r="A12" s="1"/>
      <c r="B12" s="2" t="s">
        <v>105</v>
      </c>
      <c r="C12" s="2" t="s">
        <v>106</v>
      </c>
      <c r="D12" s="3">
        <v>3</v>
      </c>
      <c r="E12" s="3" t="s">
        <v>103</v>
      </c>
      <c r="F12" s="3" t="s">
        <v>29</v>
      </c>
      <c r="G12" s="3" t="s">
        <v>107</v>
      </c>
      <c r="H12" s="3" t="s">
        <v>52</v>
      </c>
      <c r="I12" s="4" t="s">
        <v>52</v>
      </c>
    </row>
    <row r="13" spans="1:9" ht="18.75">
      <c r="A13" s="1"/>
      <c r="B13" s="2" t="s">
        <v>108</v>
      </c>
      <c r="C13" s="2" t="s">
        <v>109</v>
      </c>
      <c r="D13" s="3">
        <v>2</v>
      </c>
      <c r="E13" s="3" t="s">
        <v>93</v>
      </c>
      <c r="F13" s="3" t="s">
        <v>94</v>
      </c>
      <c r="G13" s="3" t="s">
        <v>95</v>
      </c>
      <c r="H13" s="3" t="s">
        <v>96</v>
      </c>
      <c r="I13" s="4" t="s">
        <v>27</v>
      </c>
    </row>
    <row r="14" spans="1:9" ht="18.75">
      <c r="A14" s="1"/>
      <c r="B14" s="2" t="s">
        <v>110</v>
      </c>
      <c r="C14" s="2" t="s">
        <v>111</v>
      </c>
      <c r="D14" s="3">
        <v>2</v>
      </c>
      <c r="E14" s="3" t="s">
        <v>32</v>
      </c>
      <c r="F14" s="3" t="s">
        <v>99</v>
      </c>
      <c r="G14" s="3" t="s">
        <v>26</v>
      </c>
      <c r="H14" s="3" t="s">
        <v>99</v>
      </c>
      <c r="I14" s="4" t="s">
        <v>32</v>
      </c>
    </row>
    <row r="15" spans="1:9" ht="18.75">
      <c r="A15" s="1"/>
      <c r="B15" s="2" t="s">
        <v>112</v>
      </c>
      <c r="C15" s="2" t="s">
        <v>113</v>
      </c>
      <c r="D15" s="3">
        <v>2</v>
      </c>
      <c r="E15" s="3" t="s">
        <v>26</v>
      </c>
      <c r="F15" s="3" t="s">
        <v>114</v>
      </c>
      <c r="G15" s="3" t="s">
        <v>104</v>
      </c>
      <c r="H15" s="3" t="s">
        <v>26</v>
      </c>
      <c r="I15" s="4" t="s">
        <v>104</v>
      </c>
    </row>
    <row r="16" spans="1:9" ht="18.75">
      <c r="A16" s="1"/>
      <c r="B16" s="2"/>
      <c r="C16" s="2" t="s">
        <v>115</v>
      </c>
      <c r="D16" s="3">
        <v>1</v>
      </c>
      <c r="E16" s="3"/>
      <c r="F16" s="3"/>
      <c r="G16" s="3"/>
      <c r="H16" s="3"/>
      <c r="I16" s="4"/>
    </row>
    <row r="17" spans="1:9" ht="57">
      <c r="A17" s="1"/>
      <c r="B17" s="9"/>
      <c r="C17" s="2" t="s">
        <v>116</v>
      </c>
      <c r="D17" s="3">
        <v>1</v>
      </c>
      <c r="E17" s="20" t="s">
        <v>117</v>
      </c>
      <c r="F17" s="20" t="s">
        <v>118</v>
      </c>
      <c r="G17" s="20" t="s">
        <v>118</v>
      </c>
      <c r="H17" s="20" t="s">
        <v>117</v>
      </c>
      <c r="I17" s="21" t="s">
        <v>119</v>
      </c>
    </row>
    <row r="18" spans="1:9" ht="18.75">
      <c r="A18" s="1"/>
      <c r="B18" s="9"/>
      <c r="C18" s="2" t="s">
        <v>65</v>
      </c>
      <c r="D18" s="3">
        <v>4</v>
      </c>
      <c r="E18" s="3" t="s">
        <v>93</v>
      </c>
      <c r="F18" s="3" t="s">
        <v>94</v>
      </c>
      <c r="G18" s="3" t="s">
        <v>120</v>
      </c>
      <c r="H18" s="3" t="s">
        <v>94</v>
      </c>
      <c r="I18" s="4" t="s">
        <v>120</v>
      </c>
    </row>
    <row r="19" spans="1:9" ht="19.5" thickBot="1">
      <c r="A19" s="5"/>
      <c r="B19" s="9"/>
      <c r="C19" s="6" t="s">
        <v>67</v>
      </c>
      <c r="D19" s="7">
        <v>4</v>
      </c>
      <c r="E19" s="7" t="s">
        <v>45</v>
      </c>
      <c r="F19" s="19" t="s">
        <v>93</v>
      </c>
      <c r="G19" s="7" t="s">
        <v>45</v>
      </c>
      <c r="H19" s="19" t="s">
        <v>45</v>
      </c>
      <c r="I19" s="8" t="s">
        <v>93</v>
      </c>
    </row>
    <row r="20" spans="1:9" ht="18.75">
      <c r="D20" s="10">
        <f>SUM(D7:D19)</f>
        <v>40</v>
      </c>
    </row>
  </sheetData>
  <mergeCells count="2">
    <mergeCell ref="A1:I4"/>
    <mergeCell ref="A5:D5"/>
  </mergeCells>
  <printOptions horizontalCentered="1"/>
  <pageMargins left="0.7" right="0.7" top="0" bottom="0" header="0" footer="0"/>
  <pageSetup paperSize="9" scale="11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2024-08-31T09:55:11Z</dcterms:created>
  <dcterms:modified xsi:type="dcterms:W3CDTF">2026-04-09T10:24:11Z</dcterms:modified>
  <cp:category/>
  <cp:contentStatus/>
</cp:coreProperties>
</file>